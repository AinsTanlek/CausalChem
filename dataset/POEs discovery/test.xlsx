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6CAFC3E2-4686-4F63-B2FF-0D3B03BD2D1B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<sst xmlns="http://schemas.openxmlformats.org/spreadsheetml/2006/main" count="24" uniqueCount="24">
  <si>
    <t>Perovskite composition</t>
  </si>
  <si>
    <t>RP @700°C
Ωcm2</t>
  </si>
  <si>
    <t>lg(RP)</t>
    <phoneticPr fontId="5" type="noConversion"/>
  </si>
  <si>
    <t>r_a</t>
  </si>
  <si>
    <t>r_b</t>
  </si>
  <si>
    <t>neg_a</t>
  </si>
  <si>
    <t>neg_b</t>
  </si>
  <si>
    <t>ISa_a</t>
  </si>
  <si>
    <t>ISa_b</t>
  </si>
  <si>
    <t>Ionization energy_a</t>
  </si>
  <si>
    <t>Ionization energy_b</t>
  </si>
  <si>
    <t>t</t>
  </si>
  <si>
    <t>Ba0.95La0.05Fe1.0</t>
  </si>
  <si>
    <t>Ba1.0Fe1.0</t>
  </si>
  <si>
    <t>Bi0.8Sr0.2Fe1.0</t>
  </si>
  <si>
    <t>Nd0.2Ba0.8Co0.7Fe0.3</t>
  </si>
  <si>
    <t>Nd0.5Sr0.5Fe0.8Cu0.2</t>
  </si>
  <si>
    <t>Pr0.2Ba0.8Co0.7Fe0.3</t>
  </si>
  <si>
    <t>Sr1.0Nb0.05Fe0.95</t>
  </si>
  <si>
    <t>Sr1.0Nb0.1Co0.7Fe0.2</t>
  </si>
  <si>
    <t>Sr1.0Nb0.1Co0.8Fe0.1</t>
  </si>
  <si>
    <t>Ba0.5Sr0.5Fe0.95Sb0.05</t>
  </si>
  <si>
    <t>Ba0.5Sr0.5Fe0.9Sb0.1</t>
  </si>
  <si>
    <t>La0.7Bi0.1Sr0.2Fe1.0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</si>
</sst>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Times New Roman"/>
      <family val="1"/>
    </font>
    <font>
      <sz val="10"/>
      <color rgb="FF0A0A0A"/>
      <name val="Times New Roman"/>
      <family val="1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.5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63377788628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176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6" fontId="6" fillId="2" borderId="0" xfId="0" applyNumberFormat="1" applyFont="1" applyFill="1" applyAlignment="1">
      <alignment horizontal="center" vertical="center"/>
    </xf>
    <xf numFmtId="176" fontId="6" fillId="3" borderId="0" xfId="0" applyNumberFormat="1" applyFont="1" applyFill="1" applyAlignment="1">
      <alignment horizontal="center" vertical="center"/>
    </xf>
    <xf numFmtId="176" fontId="2" fillId="4" borderId="0" xfId="0" applyNumberFormat="1" applyFont="1" applyFill="1" applyAlignment="1">
      <alignment horizontal="center" vertical="center"/>
    </xf>
    <xf numFmtId="176" fontId="6" fillId="5" borderId="0" xfId="0" applyNumberFormat="1" applyFont="1" applyFill="1" applyAlignment="1">
      <alignment horizontal="center" vertical="center"/>
    </xf>
    <xf numFmtId="176" fontId="2" fillId="6" borderId="0" xfId="0" applyNumberFormat="1" applyFont="1" applyFill="1" applyAlignment="1">
      <alignment horizontal="center" vertical="center"/>
    </xf>
    <xf numFmtId="176" fontId="2" fillId="7" borderId="0" xfId="0" applyNumberFormat="1" applyFont="1" applyFill="1" applyAlignment="1">
      <alignment horizontal="center" vertical="center"/>
    </xf>
    <xf numFmtId="49" fontId="2" fillId="7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176" fontId="6" fillId="8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M4" sqref="M4"/>
    </sheetView>
  </sheetViews>
  <sheetFormatPr defaultRowHeight="14.4" x14ac:dyDescent="0.25"/>
  <cols>
    <col min="1" max="1" width="21" customWidth="1"/>
  </cols>
  <sheetData>
    <row r="1" spans="1:12" ht="39.6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7" t="s">
        <v>9</v>
      </c>
      <c r="K1" s="7" t="s">
        <v>10</v>
      </c>
      <c r="L1" s="8" t="s">
        <v>11</v>
      </c>
    </row>
    <row r="2" spans="1:12" x14ac:dyDescent="0.25">
      <c r="A2" s="9" t="s">
        <v>12</v>
      </c>
      <c r="B2" s="10">
        <v>0.437</v>
      </c>
      <c r="C2" s="11">
        <v>-0.35951856302957813</v>
      </c>
      <c r="D2" s="4">
        <v>1.5974999999999999</v>
      </c>
      <c r="E2" s="4">
        <v>0.58799999999999997</v>
      </c>
      <c r="F2" s="5">
        <v>1.0938999999999901</v>
      </c>
      <c r="G2" s="5">
        <v>1.89889999999999</v>
      </c>
      <c r="H2" s="6">
        <v>0.20144999999999999</v>
      </c>
      <c r="I2" s="6">
        <v>0.69519999999999904</v>
      </c>
      <c r="J2" s="7">
        <v>10.459</v>
      </c>
      <c r="K2" s="7">
        <v>53.696999999999903</v>
      </c>
      <c r="L2" s="8">
        <v>1.0754371710770601</v>
      </c>
    </row>
    <row r="3" spans="1:12" x14ac:dyDescent="0.25">
      <c r="A3" s="9" t="s">
        <v>13</v>
      </c>
      <c r="B3" s="10">
        <v>2.1000000000000001E-2</v>
      </c>
      <c r="C3" s="11">
        <v>-1.6777807052660805</v>
      </c>
      <c r="D3" s="4">
        <v>1.61</v>
      </c>
      <c r="E3" s="4">
        <v>0.59</v>
      </c>
      <c r="F3" s="5">
        <v>1.087</v>
      </c>
      <c r="G3" s="5">
        <v>1.9119999999999999</v>
      </c>
      <c r="H3" s="6">
        <v>0.19400000000000001</v>
      </c>
      <c r="I3" s="6">
        <v>0.70399999999999996</v>
      </c>
      <c r="J3" s="7">
        <v>10</v>
      </c>
      <c r="K3" s="7">
        <v>54.91</v>
      </c>
      <c r="L3" s="8">
        <v>1.07888457335679</v>
      </c>
    </row>
    <row r="4" spans="1:12" x14ac:dyDescent="0.25">
      <c r="A4" s="9" t="s">
        <v>14</v>
      </c>
      <c r="B4" s="10">
        <v>0.1</v>
      </c>
      <c r="C4" s="11">
        <v>-0.99999999999999978</v>
      </c>
      <c r="D4" s="4">
        <v>1.224</v>
      </c>
      <c r="E4" s="4">
        <v>0.55800000000000005</v>
      </c>
      <c r="F4" s="5">
        <v>1.3378000000000001</v>
      </c>
      <c r="G4" s="5">
        <v>1.7023999999999899</v>
      </c>
      <c r="H4" s="6">
        <v>0.39319999999999999</v>
      </c>
      <c r="I4" s="6">
        <v>0.56319999999999903</v>
      </c>
      <c r="J4" s="7">
        <v>22.654</v>
      </c>
      <c r="K4" s="7">
        <v>35.501999999999903</v>
      </c>
      <c r="L4" s="8">
        <v>0.95392707273279498</v>
      </c>
    </row>
    <row r="5" spans="1:12" x14ac:dyDescent="0.25">
      <c r="A5" s="9" t="s">
        <v>15</v>
      </c>
      <c r="B5" s="10">
        <v>9.8000000000000004E-2</v>
      </c>
      <c r="C5" s="11">
        <v>-1.0087739243075049</v>
      </c>
      <c r="D5" s="12">
        <v>1.55</v>
      </c>
      <c r="E5" s="12">
        <v>0.5484</v>
      </c>
      <c r="F5" s="5">
        <v>1.1208</v>
      </c>
      <c r="G5" s="5">
        <v>1.9195199999999999</v>
      </c>
      <c r="H5" s="6">
        <v>0.2278</v>
      </c>
      <c r="I5" s="6">
        <v>0.64359999999999995</v>
      </c>
      <c r="J5" s="7">
        <v>12.42</v>
      </c>
      <c r="K5" s="7">
        <v>48.418599999999998</v>
      </c>
      <c r="L5" s="8">
        <v>1.08017786843709</v>
      </c>
    </row>
    <row r="6" spans="1:12" x14ac:dyDescent="0.25">
      <c r="A6" s="9" t="s">
        <v>16</v>
      </c>
      <c r="B6" s="10">
        <v>0.14099999999999999</v>
      </c>
      <c r="C6" s="11">
        <v>-0.85078088734461998</v>
      </c>
      <c r="D6" s="12">
        <v>1.375</v>
      </c>
      <c r="E6" s="12">
        <v>0.61399999999999999</v>
      </c>
      <c r="F6" s="5">
        <v>1.1745000000000001</v>
      </c>
      <c r="G6" s="5">
        <v>1.7773999999999901</v>
      </c>
      <c r="H6" s="6">
        <v>0.29249999999999998</v>
      </c>
      <c r="I6" s="6">
        <v>0.62039999999999995</v>
      </c>
      <c r="J6" s="7">
        <v>16.565000000000001</v>
      </c>
      <c r="K6" s="7">
        <v>45.559999999999903</v>
      </c>
      <c r="L6" s="8">
        <v>0.98109265719620198</v>
      </c>
    </row>
    <row r="7" spans="1:12" x14ac:dyDescent="0.25">
      <c r="A7" s="9" t="s">
        <v>17</v>
      </c>
      <c r="B7" s="10">
        <v>0.09</v>
      </c>
      <c r="C7" s="11">
        <v>-1.0457574905606752</v>
      </c>
      <c r="D7" s="4">
        <v>1.552</v>
      </c>
      <c r="E7" s="4">
        <v>0.5484</v>
      </c>
      <c r="F7" s="5">
        <v>1.1212</v>
      </c>
      <c r="G7" s="5">
        <v>1.9195199999999999</v>
      </c>
      <c r="H7" s="6">
        <v>0.22040000000000001</v>
      </c>
      <c r="I7" s="6">
        <v>0.64359999999999995</v>
      </c>
      <c r="J7" s="7">
        <v>12.324</v>
      </c>
      <c r="K7" s="7">
        <v>48.418599999999998</v>
      </c>
      <c r="L7" s="8">
        <v>1.0809228186911899</v>
      </c>
    </row>
    <row r="8" spans="1:12" x14ac:dyDescent="0.25">
      <c r="A8" s="9" t="s">
        <v>18</v>
      </c>
      <c r="B8" s="10">
        <v>4.4999999999999998E-2</v>
      </c>
      <c r="C8" s="11">
        <v>-1.346787486224656</v>
      </c>
      <c r="D8" s="4">
        <v>1.44</v>
      </c>
      <c r="E8" s="4">
        <v>0.59049999999999903</v>
      </c>
      <c r="F8" s="5">
        <v>1.093</v>
      </c>
      <c r="G8" s="5">
        <v>1.8962999999999901</v>
      </c>
      <c r="H8" s="6">
        <v>0.222</v>
      </c>
      <c r="I8" s="6">
        <v>0.70174999999999899</v>
      </c>
      <c r="J8" s="7">
        <v>11.03</v>
      </c>
      <c r="K8" s="7">
        <v>53.48</v>
      </c>
      <c r="L8" s="8">
        <v>1.0166595823295299</v>
      </c>
    </row>
    <row r="9" spans="1:12" x14ac:dyDescent="0.25">
      <c r="A9" s="9" t="s">
        <v>19</v>
      </c>
      <c r="B9" s="10">
        <v>1.6E-2</v>
      </c>
      <c r="C9" s="11">
        <v>-1.7958800173440752</v>
      </c>
      <c r="D9" s="4">
        <v>1.44</v>
      </c>
      <c r="E9" s="4">
        <v>0.55366666666666597</v>
      </c>
      <c r="F9" s="5">
        <v>1.093</v>
      </c>
      <c r="G9" s="5">
        <v>1.9440666666666599</v>
      </c>
      <c r="H9" s="6">
        <v>0.222</v>
      </c>
      <c r="I9" s="6">
        <v>0.67367777777777704</v>
      </c>
      <c r="J9" s="7">
        <v>11.03</v>
      </c>
      <c r="K9" s="7">
        <v>50.0067777777777</v>
      </c>
      <c r="L9" s="8">
        <v>1.0363305478079801</v>
      </c>
    </row>
    <row r="10" spans="1:12" x14ac:dyDescent="0.25">
      <c r="A10" s="9" t="s">
        <v>20</v>
      </c>
      <c r="B10" s="10">
        <v>1.6E-2</v>
      </c>
      <c r="C10" s="11">
        <v>-1.7958800173440752</v>
      </c>
      <c r="D10" s="4">
        <v>1.44</v>
      </c>
      <c r="E10" s="4">
        <v>0.54833333333333301</v>
      </c>
      <c r="F10" s="5">
        <v>1.093</v>
      </c>
      <c r="G10" s="5">
        <v>1.9531333333333301</v>
      </c>
      <c r="H10" s="6">
        <v>0.222</v>
      </c>
      <c r="I10" s="6">
        <v>0.66998888888888797</v>
      </c>
      <c r="J10" s="7">
        <v>11.03</v>
      </c>
      <c r="K10" s="7">
        <v>49.714888888888801</v>
      </c>
      <c r="L10" s="8">
        <v>1.0392420998299201</v>
      </c>
    </row>
    <row r="11" spans="1:12" x14ac:dyDescent="0.25">
      <c r="A11" s="9" t="s">
        <v>21</v>
      </c>
      <c r="B11" s="10">
        <v>0.184</v>
      </c>
      <c r="C11" s="11">
        <v>-0.7351821769904634</v>
      </c>
      <c r="D11" s="4">
        <v>1.5249999999999999</v>
      </c>
      <c r="E11" s="4">
        <v>0.58849999999999902</v>
      </c>
      <c r="F11" s="5">
        <v>1.0899999999999901</v>
      </c>
      <c r="G11" s="5">
        <v>1.90184999999999</v>
      </c>
      <c r="H11" s="6">
        <v>0.20799999999999999</v>
      </c>
      <c r="I11" s="6">
        <v>0.701649999999999</v>
      </c>
      <c r="J11" s="7">
        <v>10.515000000000001</v>
      </c>
      <c r="K11" s="7">
        <v>53.7515</v>
      </c>
      <c r="L11" s="8">
        <v>1.0487139519790101</v>
      </c>
    </row>
    <row r="12" spans="1:12" x14ac:dyDescent="0.25">
      <c r="A12" s="9" t="s">
        <v>22</v>
      </c>
      <c r="B12" s="10">
        <v>0.12</v>
      </c>
      <c r="C12" s="11">
        <v>-0.92081875395237511</v>
      </c>
      <c r="D12" s="4">
        <v>1.5249999999999999</v>
      </c>
      <c r="E12" s="4">
        <v>0.58699999999999997</v>
      </c>
      <c r="F12" s="5">
        <v>1.0899999999999901</v>
      </c>
      <c r="G12" s="5">
        <v>1.8916999999999999</v>
      </c>
      <c r="H12" s="6">
        <v>0.20799999999999999</v>
      </c>
      <c r="I12" s="6">
        <v>0.69929999999999903</v>
      </c>
      <c r="J12" s="7">
        <v>10.515000000000001</v>
      </c>
      <c r="K12" s="7">
        <v>52.592999999999897</v>
      </c>
      <c r="L12" s="8">
        <v>1.0495260691333601</v>
      </c>
    </row>
    <row r="13" spans="1:12" x14ac:dyDescent="0.25">
      <c r="A13" s="9" t="s">
        <v>23</v>
      </c>
      <c r="B13" s="10">
        <v>0.85</v>
      </c>
      <c r="C13" s="11">
        <v>-7.0581074285707271E-2</v>
      </c>
      <c r="D13" s="4">
        <v>1.357</v>
      </c>
      <c r="E13" s="4">
        <v>0.55800000000000005</v>
      </c>
      <c r="F13" s="5">
        <v>1.216</v>
      </c>
      <c r="G13" s="5">
        <v>1.7023999999999999</v>
      </c>
      <c r="H13" s="6">
        <v>0.3281</v>
      </c>
      <c r="I13" s="6">
        <v>0.56320000000000003</v>
      </c>
      <c r="J13" s="7">
        <v>18.187999999999999</v>
      </c>
      <c r="K13" s="7">
        <v>35.502000000000002</v>
      </c>
      <c r="L13" s="8">
        <v>1.0032170108343701</v>
      </c>
    </row>
  </sheetData>
  <phoneticPr fontId="1" type="noConversion"/>
  <conditionalFormatting sqref="B1:C13">
    <cfRule type="cellIs" priority="1" operator="between">
      <formula>0</formula>
      <formula>10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2024-12-18T11:17:47Z</dcterms:created>
  <dcterms:modified xsi:type="dcterms:W3CDTF">2026-06-03T08:19:54Z</dcterms:modified>
</cp:coreProperties>
</file>