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xr:revisionPtr revIDLastSave="0" documentId="13_ncr:1_{7279A2DE-957B-439F-838B-F37158A105A1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calcChain.xml><?xml version="1.0" encoding="utf-8"?>
<calcChain xmlns="http://schemas.openxmlformats.org/spreadsheetml/2006/main">
  <c r="C70" i="1" l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<sst xmlns="http://schemas.openxmlformats.org/spreadsheetml/2006/main" count="88" uniqueCount="87">
  <si>
    <t>Perovskite composition</t>
  </si>
  <si>
    <t>RP @700°C
Ωcm2</t>
  </si>
  <si>
    <t>lg(RP)</t>
    <phoneticPr fontId="5" type="noConversion"/>
  </si>
  <si>
    <t>r_a</t>
  </si>
  <si>
    <t>r_b</t>
  </si>
  <si>
    <t>neg_a</t>
  </si>
  <si>
    <t>neg_b</t>
  </si>
  <si>
    <t>ISa_a</t>
  </si>
  <si>
    <t>ISa_b</t>
  </si>
  <si>
    <t>t</t>
  </si>
  <si>
    <t>Ba0.5Sr0.5Co0.8Fe0.2</t>
  </si>
  <si>
    <t>Ba0.5Sr0.5Fe1.0</t>
  </si>
  <si>
    <t>Ba0.5Sr0.5Zn0.2Fe0.8</t>
  </si>
  <si>
    <t>Ba0.6La0.4Fe1.0</t>
  </si>
  <si>
    <t>Ba0.7La0.3Fe1.0</t>
  </si>
  <si>
    <t>Ba0.8La0.2Fe1.0</t>
  </si>
  <si>
    <t>Ba0.9La0.1Fe1.0</t>
  </si>
  <si>
    <t>Ba1.0Ce0.1Fe0.6Co0.3</t>
  </si>
  <si>
    <t>Ba1.0Co0.7Fe0.2Nb0.1</t>
  </si>
  <si>
    <t>Ba1.0Co1.0</t>
  </si>
  <si>
    <t>Ba1.0Fe0.85Cu0.15</t>
  </si>
  <si>
    <t>Bi0.4Sr0.6Co0.3Fe0.7</t>
  </si>
  <si>
    <t>Bi0.5Sr0.5Fe0.85Nb0.15</t>
  </si>
  <si>
    <t>Bi0.5Sr0.5Fe0.95Nb0.05</t>
  </si>
  <si>
    <t>Bi0.5Sr0.5Fe0.9Nb0.1</t>
  </si>
  <si>
    <t>Bi0.5Sr0.5Fe1.0</t>
  </si>
  <si>
    <t>La0.2Ba0.8Co0.7Fe0.3</t>
  </si>
  <si>
    <t>La0.2Bi0.6Sr0.2Fe1.0</t>
  </si>
  <si>
    <t>La0.3Bi0.5Sr0.2Fe1.0</t>
  </si>
  <si>
    <t>La0.4Sr0.6Co0.8Fe0.2</t>
  </si>
  <si>
    <t>La0.5Sr0.5Co1.0</t>
  </si>
  <si>
    <t>La0.5Sr0.5Fe0.8Cu0.15Nb0.05</t>
  </si>
  <si>
    <t>La0.5Sr0.5Fe0.8Cu0.2</t>
  </si>
  <si>
    <t>La0.5Sr0.5Fe1.0</t>
  </si>
  <si>
    <t>La0.6Bi0.2Sr0.2Fe1.0</t>
  </si>
  <si>
    <t>La0.6Sr0.4Co0.2Fe0.8</t>
  </si>
  <si>
    <t>La0.8Sr0.2Fe1.0</t>
  </si>
  <si>
    <t>Nd0.1Ba0.9Co0.7Fe0.3</t>
  </si>
  <si>
    <t>Nd0.2Sr0.8Co1.0</t>
  </si>
  <si>
    <t>Pr0.1Ba0.9Co0.7Fe0.3</t>
  </si>
  <si>
    <t>Pr0.5Ba0.5Co1.0</t>
  </si>
  <si>
    <t>Pr0.5Sr0.5Fe0.8Cu0.2</t>
  </si>
  <si>
    <t>Pr0.6Sr0.4Fe0.8Ni0.2</t>
  </si>
  <si>
    <t>Sm0.5Sr0.5Co1.0</t>
  </si>
  <si>
    <t>Sm0.5Sr0.5Fe0.8Cu0.2</t>
  </si>
  <si>
    <t>Sr1.0Fe0.95Ti0.05</t>
  </si>
  <si>
    <t>Sr1.0Fe0.9Hf0.1</t>
  </si>
  <si>
    <t>Sr1.0Fe0.9Nb0.1</t>
  </si>
  <si>
    <t>Sr1.0Fe1.0</t>
  </si>
  <si>
    <t>Sr1.0Nb0.1Co0.4Fe0.5</t>
  </si>
  <si>
    <t>Sr1.0Nb0.1Co0.6Fe0.3</t>
  </si>
  <si>
    <t>Sr1.0Nb0.1Co0.9</t>
  </si>
  <si>
    <t>Sr1.0Nb0.1Fe0.9</t>
  </si>
  <si>
    <t>Sr1.0Nb0.2Fe0.8</t>
  </si>
  <si>
    <t>Sr1.0Sc0.175Nb0.025Co0.8</t>
  </si>
  <si>
    <t>Sr1.0Sc0.175Nb0.025Fe0.8</t>
  </si>
  <si>
    <t>0.04</t>
    <phoneticPr fontId="5" type="noConversion"/>
  </si>
  <si>
    <t>Sr1.0Sc0.2Co0.8</t>
  </si>
  <si>
    <t>0.019</t>
    <phoneticPr fontId="5" type="noConversion"/>
  </si>
  <si>
    <t>Sr1.0Ti0.1Fe0.9</t>
  </si>
  <si>
    <t>0.021</t>
    <phoneticPr fontId="5" type="noConversion"/>
  </si>
  <si>
    <t>Sr1.0Ti0.5Fe0.5</t>
  </si>
  <si>
    <t>0.126</t>
    <phoneticPr fontId="5" type="noConversion"/>
  </si>
  <si>
    <t>Ba0.5Sr0.5Fe0.8Cu0.1Ti0.1</t>
  </si>
  <si>
    <t>Ba0.5Sr0.5Fe0.9Cu0.1</t>
  </si>
  <si>
    <t>Ba0.5Sr0.5Fe0.9Nb0.1</t>
  </si>
  <si>
    <t>Ba0.95Ca0.05Fe0.95In0.05</t>
  </si>
  <si>
    <t>Ba1.0Nb0.05Fe0.95</t>
  </si>
  <si>
    <t>La0.1Ba0.9Co0.7Fe0.3</t>
  </si>
  <si>
    <t>La0.1Bi0.7Sr0.2Fe1.0</t>
  </si>
  <si>
    <t>La0.4Bi0.4Sr0.2Fe1.0</t>
  </si>
  <si>
    <t>La0.5Bi0.3Sr0.2Fe1.0</t>
  </si>
  <si>
    <t>Pr0.6Sr0.4Fe0.7Ni0.2Mo0.1</t>
  </si>
  <si>
    <t>Sr1.0Co1.0</t>
  </si>
  <si>
    <t>0.11</t>
    <phoneticPr fontId="5" type="noConversion"/>
  </si>
  <si>
    <t>Sr1.0Fe0.9Ti0.1</t>
  </si>
  <si>
    <t>0.035</t>
    <phoneticPr fontId="5" type="noConversion"/>
  </si>
  <si>
    <t>Sr1.0Ti0.65Fe0.35</t>
  </si>
  <si>
    <t>0.109</t>
    <phoneticPr fontId="5" type="noConversion"/>
  </si>
  <si>
    <t>Pr0.6Ca0.4Fe0.8Ni0.2</t>
  </si>
  <si>
    <t>Pr0.7Ca0.3Fe0.8Ni0.2</t>
  </si>
  <si>
    <t>Pr0.8Ca0.2Fe0.8Ni0.2</t>
  </si>
  <si>
    <t>Pr0.9Ca0.1Fe0.8Ni0.2</t>
  </si>
  <si>
    <t>La0.4Sr0.6Ni0.2Fe0.8</t>
  </si>
  <si>
    <t>Sr1.0Fe0.85Ti0.15</t>
  </si>
  <si>
    <t>Ionization energy_a</t>
    <phoneticPr fontId="1" type="noConversion"/>
  </si>
  <si>
    <t>Ionization energy_b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</si>
</sst>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 "/>
  </numFmts>
  <fonts count="8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Times New Roman"/>
      <family val="1"/>
    </font>
    <font>
      <sz val="10"/>
      <color rgb="FF0A0A0A"/>
      <name val="Times New Roman"/>
      <family val="1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.5"/>
      <color rgb="FF000000"/>
      <name val="Times New Roman"/>
      <family val="1"/>
    </font>
    <font>
      <b/>
      <sz val="11"/>
      <name val="宋体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4" tint="0.599963377788628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176" fontId="2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76" fontId="6" fillId="2" borderId="0" xfId="0" applyNumberFormat="1" applyFont="1" applyFill="1" applyAlignment="1">
      <alignment horizontal="center" vertical="center"/>
    </xf>
    <xf numFmtId="176" fontId="6" fillId="3" borderId="0" xfId="0" applyNumberFormat="1" applyFont="1" applyFill="1" applyAlignment="1">
      <alignment horizontal="center" vertical="center"/>
    </xf>
    <xf numFmtId="176" fontId="2" fillId="4" borderId="0" xfId="0" applyNumberFormat="1" applyFont="1" applyFill="1" applyAlignment="1">
      <alignment horizontal="center" vertical="center"/>
    </xf>
    <xf numFmtId="176" fontId="6" fillId="5" borderId="0" xfId="0" applyNumberFormat="1" applyFont="1" applyFill="1" applyAlignment="1">
      <alignment horizontal="center" vertical="center"/>
    </xf>
    <xf numFmtId="176" fontId="2" fillId="6" borderId="0" xfId="0" applyNumberFormat="1" applyFont="1" applyFill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176" fontId="6" fillId="7" borderId="0" xfId="0" applyNumberFormat="1" applyFont="1" applyFill="1" applyAlignment="1">
      <alignment horizontal="center" vertical="center"/>
    </xf>
    <xf numFmtId="0" fontId="7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0"/>
  <sheetViews>
    <sheetView tabSelected="1" workbookViewId="0">
      <selection activeCell="N6" sqref="N6"/>
    </sheetView>
  </sheetViews>
  <sheetFormatPr defaultRowHeight="14.4" x14ac:dyDescent="0.25"/>
  <cols>
    <col min="1" max="1" width="24.21875" customWidth="1"/>
  </cols>
  <sheetData>
    <row r="1" spans="1:12" ht="39.6" x14ac:dyDescent="0.25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11" t="s">
        <v>85</v>
      </c>
      <c r="K1" s="11" t="s">
        <v>86</v>
      </c>
      <c r="L1" s="8" t="s">
        <v>9</v>
      </c>
    </row>
    <row r="2" spans="1:12" x14ac:dyDescent="0.25">
      <c r="A2" s="1" t="s">
        <v>10</v>
      </c>
      <c r="B2" s="9">
        <v>1.4999999999999999E-2</v>
      </c>
      <c r="C2" s="3">
        <f t="shared" ref="C2:C33" si="0">LOG(B2,10)</f>
        <v>-1.8239087409443187</v>
      </c>
      <c r="D2" s="4">
        <v>1.5249999999999999</v>
      </c>
      <c r="E2" s="4">
        <v>0.54200000000000004</v>
      </c>
      <c r="F2" s="5">
        <v>1.0899999999999901</v>
      </c>
      <c r="G2" s="5">
        <v>1.9896</v>
      </c>
      <c r="H2" s="6">
        <v>0.20799999999999999</v>
      </c>
      <c r="I2" s="6">
        <v>0.67359999999999998</v>
      </c>
      <c r="J2" s="7">
        <v>10.515000000000001</v>
      </c>
      <c r="K2" s="7">
        <v>51.997999999999998</v>
      </c>
      <c r="L2" s="8">
        <v>1.07448836993198</v>
      </c>
    </row>
    <row r="3" spans="1:12" x14ac:dyDescent="0.25">
      <c r="A3" s="1" t="s">
        <v>11</v>
      </c>
      <c r="B3" s="9">
        <v>0.21299999999999999</v>
      </c>
      <c r="C3" s="3">
        <f t="shared" si="0"/>
        <v>-0.67162039656126227</v>
      </c>
      <c r="D3" s="4">
        <v>1.5249999999999999</v>
      </c>
      <c r="E3" s="4">
        <v>0.59</v>
      </c>
      <c r="F3" s="5">
        <v>1.0899999999999901</v>
      </c>
      <c r="G3" s="5">
        <v>1.9119999999999999</v>
      </c>
      <c r="H3" s="6">
        <v>0.20799999999999999</v>
      </c>
      <c r="I3" s="6">
        <v>0.70399999999999996</v>
      </c>
      <c r="J3" s="7">
        <v>10.515000000000001</v>
      </c>
      <c r="K3" s="7">
        <v>54.91</v>
      </c>
      <c r="L3" s="8">
        <v>1.0479030906759399</v>
      </c>
    </row>
    <row r="4" spans="1:12" x14ac:dyDescent="0.25">
      <c r="A4" s="1" t="s">
        <v>12</v>
      </c>
      <c r="B4" s="9">
        <v>0.23</v>
      </c>
      <c r="C4" s="3">
        <f t="shared" si="0"/>
        <v>-0.63827216398240705</v>
      </c>
      <c r="D4" s="4">
        <v>1.5249999999999999</v>
      </c>
      <c r="E4" s="4">
        <v>0.62</v>
      </c>
      <c r="F4" s="5">
        <v>1.0899999999999901</v>
      </c>
      <c r="G4" s="5">
        <v>1.7968</v>
      </c>
      <c r="H4" s="6">
        <v>0.20799999999999999</v>
      </c>
      <c r="I4" s="6">
        <v>0.64419999999999999</v>
      </c>
      <c r="J4" s="7">
        <v>10.515000000000001</v>
      </c>
      <c r="K4" s="7">
        <v>47.519999999999897</v>
      </c>
      <c r="L4" s="8">
        <v>1.0319451755894999</v>
      </c>
    </row>
    <row r="5" spans="1:12" x14ac:dyDescent="0.25">
      <c r="A5" s="1" t="s">
        <v>13</v>
      </c>
      <c r="B5" s="9">
        <v>0.19</v>
      </c>
      <c r="C5" s="3">
        <f t="shared" si="0"/>
        <v>-0.72124639904717092</v>
      </c>
      <c r="D5" s="4">
        <v>1.51</v>
      </c>
      <c r="E5" s="4">
        <v>0.57399999999999995</v>
      </c>
      <c r="F5" s="5">
        <v>1.1422000000000001</v>
      </c>
      <c r="G5" s="5">
        <v>1.8071999999999999</v>
      </c>
      <c r="H5" s="6">
        <v>0.25359999999999999</v>
      </c>
      <c r="I5" s="6">
        <v>0.63359999999999905</v>
      </c>
      <c r="J5" s="7">
        <v>13.672000000000001</v>
      </c>
      <c r="K5" s="7">
        <v>45.205999999999896</v>
      </c>
      <c r="L5" s="8">
        <v>1.0511046747367601</v>
      </c>
    </row>
    <row r="6" spans="1:12" x14ac:dyDescent="0.25">
      <c r="A6" s="1" t="s">
        <v>14</v>
      </c>
      <c r="B6" s="9">
        <v>0.4</v>
      </c>
      <c r="C6" s="3">
        <f t="shared" si="0"/>
        <v>-0.39794000867203755</v>
      </c>
      <c r="D6" s="4">
        <v>1.5349999999999999</v>
      </c>
      <c r="E6" s="4">
        <v>0.57799999999999996</v>
      </c>
      <c r="F6" s="5">
        <v>1.1283999999999901</v>
      </c>
      <c r="G6" s="5">
        <v>1.8333999999999899</v>
      </c>
      <c r="H6" s="6">
        <v>0.2387</v>
      </c>
      <c r="I6" s="6">
        <v>0.6512</v>
      </c>
      <c r="J6" s="7">
        <v>12.754</v>
      </c>
      <c r="K6" s="7">
        <v>47.631999999999898</v>
      </c>
      <c r="L6" s="8">
        <v>1.05809287537509</v>
      </c>
    </row>
    <row r="7" spans="1:12" x14ac:dyDescent="0.25">
      <c r="A7" s="1" t="s">
        <v>15</v>
      </c>
      <c r="B7" s="9">
        <v>0.5</v>
      </c>
      <c r="C7" s="3">
        <f t="shared" si="0"/>
        <v>-0.30102999566398114</v>
      </c>
      <c r="D7" s="4">
        <v>1.56</v>
      </c>
      <c r="E7" s="4">
        <v>0.58199999999999996</v>
      </c>
      <c r="F7" s="5">
        <v>1.1146</v>
      </c>
      <c r="G7" s="5">
        <v>1.8595999999999999</v>
      </c>
      <c r="H7" s="6">
        <v>0.2238</v>
      </c>
      <c r="I7" s="6">
        <v>0.66879999999999995</v>
      </c>
      <c r="J7" s="7">
        <v>11.836</v>
      </c>
      <c r="K7" s="7">
        <v>50.058</v>
      </c>
      <c r="L7" s="8">
        <v>1.06505213936483</v>
      </c>
    </row>
    <row r="8" spans="1:12" x14ac:dyDescent="0.25">
      <c r="A8" s="1" t="s">
        <v>16</v>
      </c>
      <c r="B8" s="9">
        <v>0.39</v>
      </c>
      <c r="C8" s="3">
        <f t="shared" si="0"/>
        <v>-0.40893539297350073</v>
      </c>
      <c r="D8" s="10">
        <v>1.585</v>
      </c>
      <c r="E8" s="10">
        <v>0.58599999999999997</v>
      </c>
      <c r="F8" s="5">
        <v>1.1008</v>
      </c>
      <c r="G8" s="5">
        <v>1.8857999999999999</v>
      </c>
      <c r="H8" s="6">
        <v>0.2089</v>
      </c>
      <c r="I8" s="6">
        <v>0.68640000000000001</v>
      </c>
      <c r="J8" s="7">
        <v>10.917999999999999</v>
      </c>
      <c r="K8" s="7">
        <v>52.484000000000002</v>
      </c>
      <c r="L8" s="8">
        <v>1.0719826460653401</v>
      </c>
    </row>
    <row r="9" spans="1:12" x14ac:dyDescent="0.25">
      <c r="A9" s="1" t="s">
        <v>17</v>
      </c>
      <c r="B9" s="9">
        <v>4.9000000000000002E-2</v>
      </c>
      <c r="C9" s="3">
        <f t="shared" si="0"/>
        <v>-1.3098039199714862</v>
      </c>
      <c r="D9" s="10">
        <v>1.61</v>
      </c>
      <c r="E9" s="10">
        <v>0.6</v>
      </c>
      <c r="F9" s="5">
        <v>1.087</v>
      </c>
      <c r="G9" s="5">
        <v>1.9106999999999901</v>
      </c>
      <c r="H9" s="6">
        <v>0.19400000000000001</v>
      </c>
      <c r="I9" s="6">
        <v>0.66719999999999902</v>
      </c>
      <c r="J9" s="7">
        <v>10</v>
      </c>
      <c r="K9" s="7">
        <v>52.003</v>
      </c>
      <c r="L9" s="8">
        <v>1.07335183195496</v>
      </c>
    </row>
    <row r="10" spans="1:12" x14ac:dyDescent="0.25">
      <c r="A10" s="1" t="s">
        <v>18</v>
      </c>
      <c r="B10" s="9">
        <v>4.9000000000000002E-2</v>
      </c>
      <c r="C10" s="3">
        <f t="shared" si="0"/>
        <v>-1.3098039199714862</v>
      </c>
      <c r="D10" s="10">
        <v>1.61</v>
      </c>
      <c r="E10" s="10">
        <v>0.55366666666666597</v>
      </c>
      <c r="F10" s="5">
        <v>1.087</v>
      </c>
      <c r="G10" s="5">
        <v>1.9440666666666599</v>
      </c>
      <c r="H10" s="6">
        <v>0.19400000000000001</v>
      </c>
      <c r="I10" s="6">
        <v>0.67367777777777704</v>
      </c>
      <c r="J10" s="7">
        <v>10</v>
      </c>
      <c r="K10" s="7">
        <v>50.0067777777777</v>
      </c>
      <c r="L10" s="8">
        <v>1.0994761367425201</v>
      </c>
    </row>
    <row r="11" spans="1:12" x14ac:dyDescent="0.25">
      <c r="A11" s="1" t="s">
        <v>19</v>
      </c>
      <c r="B11" s="9">
        <v>0.06</v>
      </c>
      <c r="C11" s="3">
        <f t="shared" si="0"/>
        <v>-1.2218487496163564</v>
      </c>
      <c r="D11" s="4">
        <v>1.61</v>
      </c>
      <c r="E11" s="4">
        <v>0.53</v>
      </c>
      <c r="F11" s="5">
        <v>1.087</v>
      </c>
      <c r="G11" s="5">
        <v>2.0089999999999999</v>
      </c>
      <c r="H11" s="6">
        <v>0.19400000000000001</v>
      </c>
      <c r="I11" s="6">
        <v>0.66600000000000004</v>
      </c>
      <c r="J11" s="7">
        <v>10</v>
      </c>
      <c r="K11" s="7">
        <v>51.27</v>
      </c>
      <c r="L11" s="8">
        <v>1.11331705974052</v>
      </c>
    </row>
    <row r="12" spans="1:12" x14ac:dyDescent="0.25">
      <c r="A12" s="1" t="s">
        <v>20</v>
      </c>
      <c r="B12" s="9">
        <v>0.35</v>
      </c>
      <c r="C12" s="3">
        <f t="shared" si="0"/>
        <v>-0.45593195564972439</v>
      </c>
      <c r="D12" s="4">
        <v>1.61</v>
      </c>
      <c r="E12" s="4">
        <v>0.61099999999999999</v>
      </c>
      <c r="F12" s="5">
        <v>1.087</v>
      </c>
      <c r="G12" s="5">
        <v>1.8307</v>
      </c>
      <c r="H12" s="6">
        <v>0.19400000000000001</v>
      </c>
      <c r="I12" s="6">
        <v>0.65449999999999997</v>
      </c>
      <c r="J12" s="7">
        <v>10</v>
      </c>
      <c r="K12" s="7">
        <v>49.716999999999999</v>
      </c>
      <c r="L12" s="8">
        <v>1.0673309904702599</v>
      </c>
    </row>
    <row r="13" spans="1:12" x14ac:dyDescent="0.25">
      <c r="A13" s="1" t="s">
        <v>21</v>
      </c>
      <c r="B13" s="9">
        <v>0.24</v>
      </c>
      <c r="C13" s="3">
        <f t="shared" si="0"/>
        <v>-0.61978875828839397</v>
      </c>
      <c r="D13" s="4">
        <v>1.3319999999999901</v>
      </c>
      <c r="E13" s="4">
        <v>0.56319999999999903</v>
      </c>
      <c r="F13" s="5">
        <v>1.21539999999999</v>
      </c>
      <c r="G13" s="5">
        <v>1.8294599999999901</v>
      </c>
      <c r="H13" s="6">
        <v>0.30759999999999998</v>
      </c>
      <c r="I13" s="6">
        <v>0.62339999999999995</v>
      </c>
      <c r="J13" s="7">
        <v>16.841999999999999</v>
      </c>
      <c r="K13" s="7">
        <v>44.892799999999902</v>
      </c>
      <c r="L13" s="8">
        <v>0.99125046369554604</v>
      </c>
    </row>
    <row r="14" spans="1:12" x14ac:dyDescent="0.25">
      <c r="A14" s="1" t="s">
        <v>22</v>
      </c>
      <c r="B14" s="9">
        <v>7.6999999999999999E-2</v>
      </c>
      <c r="C14" s="3">
        <f t="shared" si="0"/>
        <v>-1.1135092748275179</v>
      </c>
      <c r="D14" s="4">
        <v>1.3049999999999999</v>
      </c>
      <c r="E14" s="4">
        <v>0.57150000000000001</v>
      </c>
      <c r="F14" s="5">
        <v>1.246</v>
      </c>
      <c r="G14" s="5">
        <v>1.7339</v>
      </c>
      <c r="H14" s="6">
        <v>0.32900000000000001</v>
      </c>
      <c r="I14" s="6">
        <v>0.60924999999999996</v>
      </c>
      <c r="J14" s="7">
        <v>18.294999999999899</v>
      </c>
      <c r="K14" s="7">
        <v>38.49</v>
      </c>
      <c r="L14" s="8">
        <v>0.97703278899312096</v>
      </c>
    </row>
    <row r="15" spans="1:12" x14ac:dyDescent="0.25">
      <c r="A15" s="1" t="s">
        <v>23</v>
      </c>
      <c r="B15" s="9">
        <v>8.4000000000000005E-2</v>
      </c>
      <c r="C15" s="3">
        <f t="shared" si="0"/>
        <v>-1.0757207139381182</v>
      </c>
      <c r="D15" s="4">
        <v>1.3049999999999999</v>
      </c>
      <c r="E15" s="4">
        <v>0.57050000000000001</v>
      </c>
      <c r="F15" s="5">
        <v>1.246</v>
      </c>
      <c r="G15" s="5">
        <v>1.7652999999999901</v>
      </c>
      <c r="H15" s="6">
        <v>0.32900000000000001</v>
      </c>
      <c r="I15" s="6">
        <v>0.61375000000000002</v>
      </c>
      <c r="J15" s="7">
        <v>18.294999999999899</v>
      </c>
      <c r="K15" s="7">
        <v>41.35</v>
      </c>
      <c r="L15" s="8">
        <v>0.97754152775333603</v>
      </c>
    </row>
    <row r="16" spans="1:12" x14ac:dyDescent="0.25">
      <c r="A16" s="1" t="s">
        <v>24</v>
      </c>
      <c r="B16" s="9">
        <v>3.7999999999999999E-2</v>
      </c>
      <c r="C16" s="3">
        <f t="shared" si="0"/>
        <v>-1.4202164033831897</v>
      </c>
      <c r="D16" s="4">
        <v>1.3049999999999999</v>
      </c>
      <c r="E16" s="4">
        <v>0.57099999999999995</v>
      </c>
      <c r="F16" s="5">
        <v>1.246</v>
      </c>
      <c r="G16" s="5">
        <v>1.7496</v>
      </c>
      <c r="H16" s="6">
        <v>0.32900000000000001</v>
      </c>
      <c r="I16" s="6">
        <v>0.61149999999999904</v>
      </c>
      <c r="J16" s="7">
        <v>18.294999999999899</v>
      </c>
      <c r="K16" s="7">
        <v>39.919999999999902</v>
      </c>
      <c r="L16" s="8">
        <v>0.97728709216568599</v>
      </c>
    </row>
    <row r="17" spans="1:12" x14ac:dyDescent="0.25">
      <c r="A17" s="1" t="s">
        <v>25</v>
      </c>
      <c r="B17" s="9">
        <v>0.12</v>
      </c>
      <c r="C17" s="3">
        <f t="shared" si="0"/>
        <v>-0.92081875395237511</v>
      </c>
      <c r="D17" s="4">
        <v>1.3049999999999999</v>
      </c>
      <c r="E17" s="4">
        <v>0.56999999999999995</v>
      </c>
      <c r="F17" s="5">
        <v>1.246</v>
      </c>
      <c r="G17" s="5">
        <v>1.7809999999999999</v>
      </c>
      <c r="H17" s="6">
        <v>0.32900000000000001</v>
      </c>
      <c r="I17" s="6">
        <v>0.61599999999999999</v>
      </c>
      <c r="J17" s="7">
        <v>18.294999999999899</v>
      </c>
      <c r="K17" s="7">
        <v>42.78</v>
      </c>
      <c r="L17" s="8">
        <v>0.97779609585952199</v>
      </c>
    </row>
    <row r="18" spans="1:12" x14ac:dyDescent="0.25">
      <c r="A18" s="1" t="s">
        <v>26</v>
      </c>
      <c r="B18" s="9">
        <v>0.22</v>
      </c>
      <c r="C18" s="3">
        <f t="shared" si="0"/>
        <v>-0.65757731917779372</v>
      </c>
      <c r="D18" s="10">
        <v>1.56</v>
      </c>
      <c r="E18" s="10">
        <v>0.5484</v>
      </c>
      <c r="F18" s="5">
        <v>1.1146</v>
      </c>
      <c r="G18" s="5">
        <v>1.9195199999999999</v>
      </c>
      <c r="H18" s="6">
        <v>0.2238</v>
      </c>
      <c r="I18" s="6">
        <v>0.64359999999999995</v>
      </c>
      <c r="J18" s="7">
        <v>11.836</v>
      </c>
      <c r="K18" s="7">
        <v>48.418599999999998</v>
      </c>
      <c r="L18" s="8">
        <v>1.0839026197075701</v>
      </c>
    </row>
    <row r="19" spans="1:12" x14ac:dyDescent="0.25">
      <c r="A19" s="1" t="s">
        <v>27</v>
      </c>
      <c r="B19" s="9">
        <v>0.09</v>
      </c>
      <c r="C19" s="3">
        <f t="shared" si="0"/>
        <v>-1.0457574905606752</v>
      </c>
      <c r="D19" s="10">
        <v>1.262</v>
      </c>
      <c r="E19" s="10">
        <v>0.55800000000000005</v>
      </c>
      <c r="F19" s="5">
        <v>1.3029999999999999</v>
      </c>
      <c r="G19" s="5">
        <v>1.7023999999999999</v>
      </c>
      <c r="H19" s="6">
        <v>0.37459999999999999</v>
      </c>
      <c r="I19" s="6">
        <v>0.56320000000000003</v>
      </c>
      <c r="J19" s="7">
        <v>21.377999999999901</v>
      </c>
      <c r="K19" s="7">
        <v>35.502000000000002</v>
      </c>
      <c r="L19" s="8">
        <v>0.96800991219038801</v>
      </c>
    </row>
    <row r="20" spans="1:12" x14ac:dyDescent="0.25">
      <c r="A20" s="1" t="s">
        <v>28</v>
      </c>
      <c r="B20" s="9">
        <v>0.1</v>
      </c>
      <c r="C20" s="3">
        <f t="shared" si="0"/>
        <v>-0.99999999999999978</v>
      </c>
      <c r="D20" s="10">
        <v>1.2809999999999999</v>
      </c>
      <c r="E20" s="10">
        <v>0.55800000000000005</v>
      </c>
      <c r="F20" s="5">
        <v>1.2856000000000001</v>
      </c>
      <c r="G20" s="5">
        <v>1.7023999999999899</v>
      </c>
      <c r="H20" s="6">
        <v>0.36530000000000001</v>
      </c>
      <c r="I20" s="6">
        <v>0.56319999999999903</v>
      </c>
      <c r="J20" s="7">
        <v>20.74</v>
      </c>
      <c r="K20" s="7">
        <v>35.501999999999903</v>
      </c>
      <c r="L20" s="8">
        <v>0.97505133191918503</v>
      </c>
    </row>
    <row r="21" spans="1:12" x14ac:dyDescent="0.25">
      <c r="A21" s="1" t="s">
        <v>29</v>
      </c>
      <c r="B21" s="9">
        <v>3.5999999999999997E-2</v>
      </c>
      <c r="C21" s="3">
        <f t="shared" si="0"/>
        <v>-1.4436974992327127</v>
      </c>
      <c r="D21" s="4">
        <v>1.4079999999999999</v>
      </c>
      <c r="E21" s="4">
        <v>0.54520000000000002</v>
      </c>
      <c r="F21" s="5">
        <v>1.1457999999999999</v>
      </c>
      <c r="G21" s="5">
        <v>1.86656</v>
      </c>
      <c r="H21" s="6">
        <v>0.27039999999999997</v>
      </c>
      <c r="I21" s="6">
        <v>0.60640000000000005</v>
      </c>
      <c r="J21" s="7">
        <v>14.29</v>
      </c>
      <c r="K21" s="7">
        <v>44.370800000000003</v>
      </c>
      <c r="L21" s="8">
        <v>1.02902094898295</v>
      </c>
    </row>
    <row r="22" spans="1:12" x14ac:dyDescent="0.25">
      <c r="A22" s="1" t="s">
        <v>30</v>
      </c>
      <c r="B22" s="9">
        <v>3.5000000000000003E-2</v>
      </c>
      <c r="C22" s="3">
        <f t="shared" si="0"/>
        <v>-1.4559319556497241</v>
      </c>
      <c r="D22" s="4">
        <v>1.4</v>
      </c>
      <c r="E22" s="4">
        <v>0.54</v>
      </c>
      <c r="F22" s="5">
        <v>1.159</v>
      </c>
      <c r="G22" s="5">
        <v>1.8494999999999999</v>
      </c>
      <c r="H22" s="6">
        <v>0.28249999999999997</v>
      </c>
      <c r="I22" s="6">
        <v>0.58299999999999996</v>
      </c>
      <c r="J22" s="7">
        <v>15.105</v>
      </c>
      <c r="K22" s="7">
        <v>42.384999999999998</v>
      </c>
      <c r="L22" s="8">
        <v>1.02885907315502</v>
      </c>
    </row>
    <row r="23" spans="1:12" x14ac:dyDescent="0.25">
      <c r="A23" s="1" t="s">
        <v>31</v>
      </c>
      <c r="B23" s="9">
        <v>0.35</v>
      </c>
      <c r="C23" s="3">
        <f t="shared" si="0"/>
        <v>-0.45593195564972439</v>
      </c>
      <c r="D23" s="4">
        <v>1.4</v>
      </c>
      <c r="E23" s="4">
        <v>0.60350000000000004</v>
      </c>
      <c r="F23" s="5">
        <v>1.159</v>
      </c>
      <c r="G23" s="5">
        <v>1.7625999999999999</v>
      </c>
      <c r="H23" s="6">
        <v>0.28249999999999997</v>
      </c>
      <c r="I23" s="6">
        <v>0.61704999999999999</v>
      </c>
      <c r="J23" s="7">
        <v>15.105</v>
      </c>
      <c r="K23" s="7">
        <v>43.435000000000002</v>
      </c>
      <c r="L23" s="8">
        <v>0.99541522818684602</v>
      </c>
    </row>
    <row r="24" spans="1:12" x14ac:dyDescent="0.25">
      <c r="A24" s="1" t="s">
        <v>32</v>
      </c>
      <c r="B24" s="9">
        <v>0.25</v>
      </c>
      <c r="C24" s="3">
        <f t="shared" si="0"/>
        <v>-0.60205999132796229</v>
      </c>
      <c r="D24" s="4">
        <v>1.4</v>
      </c>
      <c r="E24" s="4">
        <v>0.61399999999999999</v>
      </c>
      <c r="F24" s="5">
        <v>1.159</v>
      </c>
      <c r="G24" s="5">
        <v>1.7773999999999901</v>
      </c>
      <c r="H24" s="6">
        <v>0.28249999999999997</v>
      </c>
      <c r="I24" s="6">
        <v>0.62039999999999995</v>
      </c>
      <c r="J24" s="7">
        <v>15.105</v>
      </c>
      <c r="K24" s="7">
        <v>45.559999999999903</v>
      </c>
      <c r="L24" s="8">
        <v>0.99009350726222201</v>
      </c>
    </row>
    <row r="25" spans="1:12" x14ac:dyDescent="0.25">
      <c r="A25" s="1" t="s">
        <v>33</v>
      </c>
      <c r="B25" s="9">
        <v>0.79</v>
      </c>
      <c r="C25" s="3">
        <f t="shared" si="0"/>
        <v>-0.10237290870955855</v>
      </c>
      <c r="D25" s="4">
        <v>1.4</v>
      </c>
      <c r="E25" s="4">
        <v>0.56999999999999995</v>
      </c>
      <c r="F25" s="5">
        <v>1.159</v>
      </c>
      <c r="G25" s="5">
        <v>1.7809999999999999</v>
      </c>
      <c r="H25" s="6">
        <v>0.28249999999999997</v>
      </c>
      <c r="I25" s="6">
        <v>0.61599999999999999</v>
      </c>
      <c r="J25" s="7">
        <v>15.105</v>
      </c>
      <c r="K25" s="7">
        <v>42.78</v>
      </c>
      <c r="L25" s="8">
        <v>1.0127831501369799</v>
      </c>
    </row>
    <row r="26" spans="1:12" x14ac:dyDescent="0.25">
      <c r="A26" s="1" t="s">
        <v>34</v>
      </c>
      <c r="B26" s="9">
        <v>0.35</v>
      </c>
      <c r="C26" s="3">
        <f t="shared" si="0"/>
        <v>-0.45593195564972439</v>
      </c>
      <c r="D26" s="4">
        <v>1.3380000000000001</v>
      </c>
      <c r="E26" s="4">
        <v>0.55800000000000005</v>
      </c>
      <c r="F26" s="5">
        <v>1.2334000000000001</v>
      </c>
      <c r="G26" s="5">
        <v>1.7023999999999999</v>
      </c>
      <c r="H26" s="6">
        <v>0.33739999999999998</v>
      </c>
      <c r="I26" s="6">
        <v>0.56320000000000003</v>
      </c>
      <c r="J26" s="7">
        <v>18.825999999999901</v>
      </c>
      <c r="K26" s="7">
        <v>35.502000000000002</v>
      </c>
      <c r="L26" s="8">
        <v>0.99617559110557596</v>
      </c>
    </row>
    <row r="27" spans="1:12" x14ac:dyDescent="0.25">
      <c r="A27" s="1" t="s">
        <v>35</v>
      </c>
      <c r="B27" s="9">
        <v>0.12</v>
      </c>
      <c r="C27" s="3">
        <f t="shared" si="0"/>
        <v>-0.92081875395237511</v>
      </c>
      <c r="D27" s="4">
        <v>1.3919999999999999</v>
      </c>
      <c r="E27" s="4">
        <v>0.56120000000000003</v>
      </c>
      <c r="F27" s="5">
        <v>1.1721999999999999</v>
      </c>
      <c r="G27" s="5">
        <v>1.76736</v>
      </c>
      <c r="H27" s="6">
        <v>0.29459999999999997</v>
      </c>
      <c r="I27" s="6">
        <v>0.59199999999999997</v>
      </c>
      <c r="J27" s="7">
        <v>15.9199999999999</v>
      </c>
      <c r="K27" s="7">
        <v>40.404800000000002</v>
      </c>
      <c r="L27" s="8">
        <v>1.0144866021418499</v>
      </c>
    </row>
    <row r="28" spans="1:12" x14ac:dyDescent="0.25">
      <c r="A28" s="1" t="s">
        <v>36</v>
      </c>
      <c r="B28" s="9">
        <v>0.8</v>
      </c>
      <c r="C28" s="3">
        <f t="shared" si="0"/>
        <v>-9.6910013008056378E-2</v>
      </c>
      <c r="D28" s="4">
        <v>1.3759999999999999</v>
      </c>
      <c r="E28" s="4">
        <v>0.55800000000000005</v>
      </c>
      <c r="F28" s="5">
        <v>1.1986000000000001</v>
      </c>
      <c r="G28" s="5">
        <v>1.7023999999999899</v>
      </c>
      <c r="H28" s="6">
        <v>0.31879999999999997</v>
      </c>
      <c r="I28" s="6">
        <v>0.56319999999999903</v>
      </c>
      <c r="J28" s="7">
        <v>17.55</v>
      </c>
      <c r="K28" s="7">
        <v>35.501999999999903</v>
      </c>
      <c r="L28" s="8">
        <v>1.0102584305631599</v>
      </c>
    </row>
    <row r="29" spans="1:12" x14ac:dyDescent="0.25">
      <c r="A29" s="1" t="s">
        <v>37</v>
      </c>
      <c r="B29" s="9">
        <v>0.09</v>
      </c>
      <c r="C29" s="3">
        <f t="shared" si="0"/>
        <v>-1.0457574905606752</v>
      </c>
      <c r="D29" s="4">
        <v>1.58</v>
      </c>
      <c r="E29" s="4">
        <v>0.54820000000000002</v>
      </c>
      <c r="F29" s="5">
        <v>1.1038999999999899</v>
      </c>
      <c r="G29" s="5">
        <v>1.9497099999999901</v>
      </c>
      <c r="H29" s="6">
        <v>0.2109</v>
      </c>
      <c r="I29" s="6">
        <v>0.66049999999999998</v>
      </c>
      <c r="J29" s="7">
        <v>11.21</v>
      </c>
      <c r="K29" s="7">
        <v>50.390300000000003</v>
      </c>
      <c r="L29" s="8">
        <v>1.0914671103553799</v>
      </c>
    </row>
    <row r="30" spans="1:12" x14ac:dyDescent="0.25">
      <c r="A30" s="1" t="s">
        <v>38</v>
      </c>
      <c r="B30" s="9">
        <v>4.1000000000000002E-2</v>
      </c>
      <c r="C30" s="3">
        <f t="shared" si="0"/>
        <v>-1.3872161432802643</v>
      </c>
      <c r="D30" s="10">
        <v>1.4139999999999999</v>
      </c>
      <c r="E30" s="10">
        <v>0.53400000000000003</v>
      </c>
      <c r="F30" s="5">
        <v>1.1255999999999999</v>
      </c>
      <c r="G30" s="5">
        <v>1.94519999999999</v>
      </c>
      <c r="H30" s="6">
        <v>0.25019999999999998</v>
      </c>
      <c r="I30" s="6">
        <v>0.63280000000000003</v>
      </c>
      <c r="J30" s="7">
        <v>13.244</v>
      </c>
      <c r="K30" s="7">
        <v>47.716000000000001</v>
      </c>
      <c r="L30" s="8">
        <v>1.0373902033968201</v>
      </c>
    </row>
    <row r="31" spans="1:12" x14ac:dyDescent="0.25">
      <c r="A31" s="1" t="s">
        <v>39</v>
      </c>
      <c r="B31" s="9">
        <v>2.5999999999999999E-2</v>
      </c>
      <c r="C31" s="3">
        <f t="shared" si="0"/>
        <v>-1.585026652029182</v>
      </c>
      <c r="D31" s="4">
        <v>1.581</v>
      </c>
      <c r="E31" s="4">
        <v>0.54820000000000002</v>
      </c>
      <c r="F31" s="5">
        <v>1.1040999999999901</v>
      </c>
      <c r="G31" s="5">
        <v>1.9497099999999901</v>
      </c>
      <c r="H31" s="6">
        <v>0.2072</v>
      </c>
      <c r="I31" s="6">
        <v>0.66049999999999998</v>
      </c>
      <c r="J31" s="7">
        <v>11.162000000000001</v>
      </c>
      <c r="K31" s="7">
        <v>50.390300000000003</v>
      </c>
      <c r="L31" s="8">
        <v>1.0918396247275099</v>
      </c>
    </row>
    <row r="32" spans="1:12" x14ac:dyDescent="0.25">
      <c r="A32" s="1" t="s">
        <v>40</v>
      </c>
      <c r="B32" s="9">
        <v>0.08</v>
      </c>
      <c r="C32" s="3">
        <f t="shared" si="0"/>
        <v>-1.0969100130080565</v>
      </c>
      <c r="D32" s="4">
        <v>1.4650000000000001</v>
      </c>
      <c r="E32" s="4">
        <v>0.54</v>
      </c>
      <c r="F32" s="5">
        <v>1.1724999999999901</v>
      </c>
      <c r="G32" s="5">
        <v>1.8494999999999999</v>
      </c>
      <c r="H32" s="6">
        <v>0.26</v>
      </c>
      <c r="I32" s="6">
        <v>0.58299999999999996</v>
      </c>
      <c r="J32" s="7">
        <v>15.81</v>
      </c>
      <c r="K32" s="7">
        <v>42.384999999999998</v>
      </c>
      <c r="L32" s="8">
        <v>1.0531775603386899</v>
      </c>
    </row>
    <row r="33" spans="1:12" x14ac:dyDescent="0.25">
      <c r="A33" s="1" t="s">
        <v>41</v>
      </c>
      <c r="B33" s="9">
        <v>0.15</v>
      </c>
      <c r="C33" s="3">
        <f t="shared" si="0"/>
        <v>-0.82390874094431865</v>
      </c>
      <c r="D33" s="4">
        <v>1.38</v>
      </c>
      <c r="E33" s="4">
        <v>0.61399999999999999</v>
      </c>
      <c r="F33" s="5">
        <v>1.1755</v>
      </c>
      <c r="G33" s="5">
        <v>1.7773999999999901</v>
      </c>
      <c r="H33" s="6">
        <v>0.27400000000000002</v>
      </c>
      <c r="I33" s="6">
        <v>0.62039999999999995</v>
      </c>
      <c r="J33" s="7">
        <v>16.324999999999999</v>
      </c>
      <c r="K33" s="7">
        <v>45.559999999999903</v>
      </c>
      <c r="L33" s="8">
        <v>0.98289282720940596</v>
      </c>
    </row>
    <row r="34" spans="1:12" x14ac:dyDescent="0.25">
      <c r="A34" s="1" t="s">
        <v>42</v>
      </c>
      <c r="B34" s="9">
        <v>0.62</v>
      </c>
      <c r="C34" s="3">
        <f t="shared" ref="C34:C65" si="1">LOG(B34,10)</f>
        <v>-0.20760831050174611</v>
      </c>
      <c r="D34" s="4">
        <v>1.3679999999999899</v>
      </c>
      <c r="E34" s="4">
        <v>0.55840000000000001</v>
      </c>
      <c r="F34" s="5">
        <v>1.1919999999999999</v>
      </c>
      <c r="G34" s="5">
        <v>1.7710399999999999</v>
      </c>
      <c r="H34" s="6">
        <v>0.28439999999999999</v>
      </c>
      <c r="I34" s="6">
        <v>0.59223999999999999</v>
      </c>
      <c r="J34" s="7">
        <v>17.384</v>
      </c>
      <c r="K34" s="7">
        <v>40.8996</v>
      </c>
      <c r="L34" s="8">
        <v>1.00708249385088</v>
      </c>
    </row>
    <row r="35" spans="1:12" x14ac:dyDescent="0.25">
      <c r="A35" s="1" t="s">
        <v>43</v>
      </c>
      <c r="B35" s="9">
        <v>0.16</v>
      </c>
      <c r="C35" s="3">
        <f t="shared" si="1"/>
        <v>-0.79588001734407521</v>
      </c>
      <c r="D35" s="4">
        <v>1.3599999999999901</v>
      </c>
      <c r="E35" s="4">
        <v>0.54</v>
      </c>
      <c r="F35" s="5">
        <v>1.1879999999999999</v>
      </c>
      <c r="G35" s="5">
        <v>1.8494999999999999</v>
      </c>
      <c r="H35" s="6">
        <v>0.30099999999999999</v>
      </c>
      <c r="I35" s="6">
        <v>0.58299999999999996</v>
      </c>
      <c r="J35" s="7">
        <v>17.215</v>
      </c>
      <c r="K35" s="7">
        <v>42.384999999999998</v>
      </c>
      <c r="L35" s="8">
        <v>1.0138938502727699</v>
      </c>
    </row>
    <row r="36" spans="1:12" x14ac:dyDescent="0.25">
      <c r="A36" s="1" t="s">
        <v>44</v>
      </c>
      <c r="B36" s="9">
        <v>8.4000000000000005E-2</v>
      </c>
      <c r="C36" s="3">
        <f t="shared" si="1"/>
        <v>-1.0757207139381182</v>
      </c>
      <c r="D36" s="4">
        <v>1.3599999999999901</v>
      </c>
      <c r="E36" s="4">
        <v>0.61399999999999999</v>
      </c>
      <c r="F36" s="5">
        <v>1.1879999999999999</v>
      </c>
      <c r="G36" s="5">
        <v>1.7773999999999901</v>
      </c>
      <c r="H36" s="6">
        <v>0.30099999999999999</v>
      </c>
      <c r="I36" s="6">
        <v>0.62039999999999995</v>
      </c>
      <c r="J36" s="7">
        <v>17.215</v>
      </c>
      <c r="K36" s="7">
        <v>45.559999999999903</v>
      </c>
      <c r="L36" s="8">
        <v>0.97569214715659003</v>
      </c>
    </row>
    <row r="37" spans="1:12" x14ac:dyDescent="0.25">
      <c r="A37" s="1" t="s">
        <v>45</v>
      </c>
      <c r="B37" s="9">
        <v>0.22</v>
      </c>
      <c r="C37" s="3">
        <f t="shared" si="1"/>
        <v>-0.65757731917779372</v>
      </c>
      <c r="D37" s="10">
        <v>1.44</v>
      </c>
      <c r="E37" s="10">
        <v>0.59075</v>
      </c>
      <c r="F37" s="5">
        <v>1.093</v>
      </c>
      <c r="G37" s="5">
        <v>1.90289999999999</v>
      </c>
      <c r="H37" s="6">
        <v>0.222</v>
      </c>
      <c r="I37" s="6">
        <v>0.7026</v>
      </c>
      <c r="J37" s="7">
        <v>11.03</v>
      </c>
      <c r="K37" s="7">
        <v>54.327999999999903</v>
      </c>
      <c r="L37" s="8">
        <v>1.01652862012648</v>
      </c>
    </row>
    <row r="38" spans="1:12" x14ac:dyDescent="0.25">
      <c r="A38" s="1" t="s">
        <v>46</v>
      </c>
      <c r="B38" s="9">
        <v>3.6999999999999998E-2</v>
      </c>
      <c r="C38" s="3">
        <f t="shared" si="1"/>
        <v>-1.4317982759330048</v>
      </c>
      <c r="D38" s="10">
        <v>1.44</v>
      </c>
      <c r="E38" s="10">
        <v>0.60199999999999998</v>
      </c>
      <c r="F38" s="5">
        <v>1.093</v>
      </c>
      <c r="G38" s="5">
        <v>1.8914</v>
      </c>
      <c r="H38" s="6">
        <v>0.222</v>
      </c>
      <c r="I38" s="6">
        <v>0.69259999999999999</v>
      </c>
      <c r="J38" s="7">
        <v>11.03</v>
      </c>
      <c r="K38" s="7">
        <v>52.751999999999903</v>
      </c>
      <c r="L38" s="8">
        <v>1.01067004073282</v>
      </c>
    </row>
    <row r="39" spans="1:12" x14ac:dyDescent="0.25">
      <c r="A39" s="1" t="s">
        <v>47</v>
      </c>
      <c r="B39" s="9">
        <v>0.28999999999999998</v>
      </c>
      <c r="C39" s="3">
        <f t="shared" si="1"/>
        <v>-0.53760200210104392</v>
      </c>
      <c r="D39" s="10">
        <v>1.44</v>
      </c>
      <c r="E39" s="10">
        <v>0.59099999999999997</v>
      </c>
      <c r="F39" s="5">
        <v>1.093</v>
      </c>
      <c r="G39" s="5">
        <v>1.8805999999999901</v>
      </c>
      <c r="H39" s="6">
        <v>0.222</v>
      </c>
      <c r="I39" s="6">
        <v>0.69949999999999901</v>
      </c>
      <c r="J39" s="7">
        <v>11.03</v>
      </c>
      <c r="K39" s="7">
        <v>52.05</v>
      </c>
      <c r="L39" s="8">
        <v>1.0163976916591699</v>
      </c>
    </row>
    <row r="40" spans="1:12" x14ac:dyDescent="0.25">
      <c r="A40" s="1" t="s">
        <v>48</v>
      </c>
      <c r="B40" s="9">
        <v>7.1999999999999995E-2</v>
      </c>
      <c r="C40" s="3">
        <f t="shared" si="1"/>
        <v>-1.1426675035687315</v>
      </c>
      <c r="D40" s="4">
        <v>1.44</v>
      </c>
      <c r="E40" s="4">
        <v>0.59</v>
      </c>
      <c r="F40" s="5">
        <v>1.093</v>
      </c>
      <c r="G40" s="5">
        <v>1.9119999999999999</v>
      </c>
      <c r="H40" s="6">
        <v>0.222</v>
      </c>
      <c r="I40" s="6">
        <v>0.70399999999999996</v>
      </c>
      <c r="J40" s="7">
        <v>11.03</v>
      </c>
      <c r="K40" s="7">
        <v>54.91</v>
      </c>
      <c r="L40" s="8">
        <v>1.01692160799508</v>
      </c>
    </row>
    <row r="41" spans="1:12" x14ac:dyDescent="0.25">
      <c r="A41" s="1" t="s">
        <v>49</v>
      </c>
      <c r="B41" s="9">
        <v>2.4E-2</v>
      </c>
      <c r="C41" s="3">
        <f t="shared" si="1"/>
        <v>-1.6197887582883939</v>
      </c>
      <c r="D41" s="4">
        <v>1.44</v>
      </c>
      <c r="E41" s="4">
        <v>0.56966666666666599</v>
      </c>
      <c r="F41" s="5">
        <v>1.093</v>
      </c>
      <c r="G41" s="5">
        <v>1.9168666666666601</v>
      </c>
      <c r="H41" s="6">
        <v>0.222</v>
      </c>
      <c r="I41" s="6">
        <v>0.68474444444444404</v>
      </c>
      <c r="J41" s="7">
        <v>11.03</v>
      </c>
      <c r="K41" s="7">
        <v>50.882444444444403</v>
      </c>
      <c r="L41" s="8">
        <v>1.0276929603284199</v>
      </c>
    </row>
    <row r="42" spans="1:12" x14ac:dyDescent="0.25">
      <c r="A42" s="1" t="s">
        <v>50</v>
      </c>
      <c r="B42" s="9">
        <v>1.7000000000000001E-2</v>
      </c>
      <c r="C42" s="3">
        <f t="shared" si="1"/>
        <v>-1.7695510786217257</v>
      </c>
      <c r="D42" s="4">
        <v>1.44</v>
      </c>
      <c r="E42" s="4">
        <v>0.55899999999999905</v>
      </c>
      <c r="F42" s="5">
        <v>1.093</v>
      </c>
      <c r="G42" s="5">
        <v>1.9350000000000001</v>
      </c>
      <c r="H42" s="6">
        <v>0.222</v>
      </c>
      <c r="I42" s="6">
        <v>0.67736666666666601</v>
      </c>
      <c r="J42" s="7">
        <v>11.03</v>
      </c>
      <c r="K42" s="7">
        <v>50.298666666666598</v>
      </c>
      <c r="L42" s="8">
        <v>1.03343526427997</v>
      </c>
    </row>
    <row r="43" spans="1:12" x14ac:dyDescent="0.25">
      <c r="A43" s="1" t="s">
        <v>51</v>
      </c>
      <c r="B43" s="9">
        <v>1.7999999999999999E-2</v>
      </c>
      <c r="C43" s="3">
        <f t="shared" si="1"/>
        <v>-1.7447274948966938</v>
      </c>
      <c r="D43" s="4">
        <v>1.44</v>
      </c>
      <c r="E43" s="4">
        <v>0.54300000000000004</v>
      </c>
      <c r="F43" s="5">
        <v>1.093</v>
      </c>
      <c r="G43" s="5">
        <v>1.96219999999999</v>
      </c>
      <c r="H43" s="6">
        <v>0.222</v>
      </c>
      <c r="I43" s="6">
        <v>0.6663</v>
      </c>
      <c r="J43" s="7">
        <v>11.03</v>
      </c>
      <c r="K43" s="7">
        <v>49.423000000000002</v>
      </c>
      <c r="L43" s="8">
        <v>1.04217005785022</v>
      </c>
    </row>
    <row r="44" spans="1:12" x14ac:dyDescent="0.25">
      <c r="A44" s="1" t="s">
        <v>52</v>
      </c>
      <c r="B44" s="9">
        <v>0.06</v>
      </c>
      <c r="C44" s="3">
        <f t="shared" si="1"/>
        <v>-1.2218487496163564</v>
      </c>
      <c r="D44" s="4">
        <v>1.44</v>
      </c>
      <c r="E44" s="4">
        <v>0.59099999999999997</v>
      </c>
      <c r="F44" s="5">
        <v>1.093</v>
      </c>
      <c r="G44" s="5">
        <v>1.8805999999999901</v>
      </c>
      <c r="H44" s="6">
        <v>0.222</v>
      </c>
      <c r="I44" s="6">
        <v>0.69949999999999901</v>
      </c>
      <c r="J44" s="7">
        <v>11.03</v>
      </c>
      <c r="K44" s="7">
        <v>52.05</v>
      </c>
      <c r="L44" s="8">
        <v>1.0163976916591699</v>
      </c>
    </row>
    <row r="45" spans="1:12" x14ac:dyDescent="0.25">
      <c r="A45" s="1" t="s">
        <v>53</v>
      </c>
      <c r="B45" s="9">
        <v>8.5000000000000006E-2</v>
      </c>
      <c r="C45" s="3">
        <f t="shared" si="1"/>
        <v>-1.0705810742857071</v>
      </c>
      <c r="D45" s="4">
        <v>1.44</v>
      </c>
      <c r="E45" s="4">
        <v>0.59199999999999997</v>
      </c>
      <c r="F45" s="5">
        <v>1.093</v>
      </c>
      <c r="G45" s="5">
        <v>1.8492</v>
      </c>
      <c r="H45" s="6">
        <v>0.222</v>
      </c>
      <c r="I45" s="6">
        <v>0.69499999999999995</v>
      </c>
      <c r="J45" s="7">
        <v>11.03</v>
      </c>
      <c r="K45" s="7">
        <v>49.189999999999898</v>
      </c>
      <c r="L45" s="8">
        <v>1.01587431488695</v>
      </c>
    </row>
    <row r="46" spans="1:12" x14ac:dyDescent="0.25">
      <c r="A46" s="1" t="s">
        <v>54</v>
      </c>
      <c r="B46" s="9">
        <v>8.5000000000000006E-3</v>
      </c>
      <c r="C46" s="3">
        <f t="shared" si="1"/>
        <v>-2.0705810742857071</v>
      </c>
      <c r="D46" s="10">
        <v>1.44</v>
      </c>
      <c r="E46" s="10">
        <v>0.59487500000000004</v>
      </c>
      <c r="F46" s="5">
        <v>1.093</v>
      </c>
      <c r="G46" s="5">
        <v>1.9021999999999999</v>
      </c>
      <c r="H46" s="6">
        <v>0.222</v>
      </c>
      <c r="I46" s="6">
        <v>0.63785000000000003</v>
      </c>
      <c r="J46" s="7">
        <v>11.03</v>
      </c>
      <c r="K46" s="7">
        <v>46.613250000000001</v>
      </c>
      <c r="L46" s="8">
        <v>1.01437260467149</v>
      </c>
    </row>
    <row r="47" spans="1:12" x14ac:dyDescent="0.25">
      <c r="A47" s="1" t="s">
        <v>55</v>
      </c>
      <c r="B47" s="9" t="s">
        <v>56</v>
      </c>
      <c r="C47" s="3">
        <f t="shared" si="1"/>
        <v>-1.3979400086720375</v>
      </c>
      <c r="D47" s="10">
        <v>1.44</v>
      </c>
      <c r="E47" s="10">
        <v>0.64287499999999997</v>
      </c>
      <c r="F47" s="5">
        <v>1.093</v>
      </c>
      <c r="G47" s="5">
        <v>1.8246</v>
      </c>
      <c r="H47" s="6">
        <v>0.222</v>
      </c>
      <c r="I47" s="6">
        <v>0.66825000000000001</v>
      </c>
      <c r="J47" s="7">
        <v>11.03</v>
      </c>
      <c r="K47" s="7">
        <v>49.52525</v>
      </c>
      <c r="L47" s="8">
        <v>0.98994062322547405</v>
      </c>
    </row>
    <row r="48" spans="1:12" x14ac:dyDescent="0.25">
      <c r="A48" s="1" t="s">
        <v>57</v>
      </c>
      <c r="B48" s="9" t="s">
        <v>58</v>
      </c>
      <c r="C48" s="3">
        <f t="shared" si="1"/>
        <v>-1.7212463990471709</v>
      </c>
      <c r="D48" s="10">
        <v>1.44</v>
      </c>
      <c r="E48" s="10">
        <v>0.60099999999999998</v>
      </c>
      <c r="F48" s="5">
        <v>1.093</v>
      </c>
      <c r="G48" s="5">
        <v>1.8912</v>
      </c>
      <c r="H48" s="6">
        <v>0.222</v>
      </c>
      <c r="I48" s="6">
        <v>0.629</v>
      </c>
      <c r="J48" s="7">
        <v>11.03</v>
      </c>
      <c r="K48" s="7">
        <v>45.968000000000004</v>
      </c>
      <c r="L48" s="8">
        <v>1.01118806740669</v>
      </c>
    </row>
    <row r="49" spans="1:12" x14ac:dyDescent="0.25">
      <c r="A49" s="1" t="s">
        <v>59</v>
      </c>
      <c r="B49" s="9" t="s">
        <v>60</v>
      </c>
      <c r="C49" s="3">
        <f t="shared" si="1"/>
        <v>-1.6777807052660805</v>
      </c>
      <c r="D49" s="4">
        <v>1.44</v>
      </c>
      <c r="E49" s="4">
        <v>0.59150000000000003</v>
      </c>
      <c r="F49" s="5">
        <v>1.093</v>
      </c>
      <c r="G49" s="5">
        <v>1.8937999999999999</v>
      </c>
      <c r="H49" s="6">
        <v>0.222</v>
      </c>
      <c r="I49" s="6">
        <v>0.70120000000000005</v>
      </c>
      <c r="J49" s="7">
        <v>11.03</v>
      </c>
      <c r="K49" s="7">
        <v>53.745999999999903</v>
      </c>
      <c r="L49" s="8">
        <v>1.01613593587971</v>
      </c>
    </row>
    <row r="50" spans="1:12" x14ac:dyDescent="0.25">
      <c r="A50" s="1" t="s">
        <v>61</v>
      </c>
      <c r="B50" s="9" t="s">
        <v>62</v>
      </c>
      <c r="C50" s="3">
        <f t="shared" si="1"/>
        <v>-0.89962945488243695</v>
      </c>
      <c r="D50" s="4">
        <v>1.44</v>
      </c>
      <c r="E50" s="4">
        <v>0.59749999999999903</v>
      </c>
      <c r="F50" s="5">
        <v>1.093</v>
      </c>
      <c r="G50" s="5">
        <v>1.821</v>
      </c>
      <c r="H50" s="6">
        <v>0.222</v>
      </c>
      <c r="I50" s="6">
        <v>0.69</v>
      </c>
      <c r="J50" s="7">
        <v>11.03</v>
      </c>
      <c r="K50" s="7">
        <v>49.09</v>
      </c>
      <c r="L50" s="8">
        <v>1.0130053501979199</v>
      </c>
    </row>
    <row r="51" spans="1:12" x14ac:dyDescent="0.25">
      <c r="A51" s="1" t="s">
        <v>63</v>
      </c>
      <c r="B51" s="9">
        <v>0.02</v>
      </c>
      <c r="C51" s="3">
        <f t="shared" si="1"/>
        <v>-1.6989700043360185</v>
      </c>
      <c r="D51" s="4">
        <v>1.5249999999999999</v>
      </c>
      <c r="E51" s="4">
        <v>0.60549999999999904</v>
      </c>
      <c r="F51" s="5">
        <v>1.0899999999999901</v>
      </c>
      <c r="G51" s="5">
        <v>1.8395999999999999</v>
      </c>
      <c r="H51" s="6">
        <v>0.20799999999999999</v>
      </c>
      <c r="I51" s="6">
        <v>0.66820000000000002</v>
      </c>
      <c r="J51" s="7">
        <v>10.515000000000001</v>
      </c>
      <c r="K51" s="7">
        <v>50.283999999999999</v>
      </c>
      <c r="L51" s="8">
        <v>1.0395970319157799</v>
      </c>
    </row>
    <row r="52" spans="1:12" x14ac:dyDescent="0.25">
      <c r="A52" s="1" t="s">
        <v>64</v>
      </c>
      <c r="B52" s="9">
        <v>1.7000000000000001E-2</v>
      </c>
      <c r="C52" s="3">
        <f t="shared" si="1"/>
        <v>-1.7695510786217257</v>
      </c>
      <c r="D52" s="4">
        <v>1.5249999999999999</v>
      </c>
      <c r="E52" s="4">
        <v>0.60399999999999998</v>
      </c>
      <c r="F52" s="5">
        <v>1.0899999999999901</v>
      </c>
      <c r="G52" s="5">
        <v>1.8577999999999999</v>
      </c>
      <c r="H52" s="6">
        <v>0.20799999999999999</v>
      </c>
      <c r="I52" s="6">
        <v>0.67099999999999904</v>
      </c>
      <c r="J52" s="7">
        <v>10.515000000000001</v>
      </c>
      <c r="K52" s="7">
        <v>51.447999999999901</v>
      </c>
      <c r="L52" s="8">
        <v>1.0403950849085499</v>
      </c>
    </row>
    <row r="53" spans="1:12" x14ac:dyDescent="0.25">
      <c r="A53" s="1" t="s">
        <v>65</v>
      </c>
      <c r="B53" s="9">
        <v>8.2000000000000003E-2</v>
      </c>
      <c r="C53" s="3">
        <f t="shared" si="1"/>
        <v>-1.0861861476162833</v>
      </c>
      <c r="D53" s="4">
        <v>1.5249999999999999</v>
      </c>
      <c r="E53" s="4">
        <v>0.59099999999999997</v>
      </c>
      <c r="F53" s="5">
        <v>1.0899999999999901</v>
      </c>
      <c r="G53" s="5">
        <v>1.8805999999999901</v>
      </c>
      <c r="H53" s="6">
        <v>0.20799999999999999</v>
      </c>
      <c r="I53" s="6">
        <v>0.69949999999999901</v>
      </c>
      <c r="J53" s="7">
        <v>10.515000000000001</v>
      </c>
      <c r="K53" s="7">
        <v>52.05</v>
      </c>
      <c r="L53" s="8">
        <v>1.04736321273123</v>
      </c>
    </row>
    <row r="54" spans="1:12" x14ac:dyDescent="0.25">
      <c r="A54" s="1" t="s">
        <v>66</v>
      </c>
      <c r="B54" s="9">
        <v>3.7999999999999999E-2</v>
      </c>
      <c r="C54" s="3">
        <f t="shared" si="1"/>
        <v>-1.4202164033831897</v>
      </c>
      <c r="D54" s="4">
        <v>1.5965</v>
      </c>
      <c r="E54" s="4">
        <v>0.60050000000000003</v>
      </c>
      <c r="F54" s="5">
        <v>1.0872499999999901</v>
      </c>
      <c r="G54" s="5">
        <v>1.90689999999999</v>
      </c>
      <c r="H54" s="6">
        <v>0.19749999999999901</v>
      </c>
      <c r="I54" s="6">
        <v>0.69355</v>
      </c>
      <c r="J54" s="7">
        <v>10.093500000000001</v>
      </c>
      <c r="K54" s="7">
        <v>53.565999999999903</v>
      </c>
      <c r="L54" s="8">
        <v>1.0681825843456301</v>
      </c>
    </row>
    <row r="55" spans="1:12" x14ac:dyDescent="0.25">
      <c r="A55" s="1" t="s">
        <v>67</v>
      </c>
      <c r="B55" s="9">
        <v>2.5999999999999999E-2</v>
      </c>
      <c r="C55" s="3">
        <f t="shared" si="1"/>
        <v>-1.585026652029182</v>
      </c>
      <c r="D55" s="4">
        <v>1.61</v>
      </c>
      <c r="E55" s="4">
        <v>0.59049999999999903</v>
      </c>
      <c r="F55" s="5">
        <v>1.087</v>
      </c>
      <c r="G55" s="5">
        <v>1.8962999999999901</v>
      </c>
      <c r="H55" s="6">
        <v>0.19400000000000001</v>
      </c>
      <c r="I55" s="6">
        <v>0.70174999999999899</v>
      </c>
      <c r="J55" s="7">
        <v>10</v>
      </c>
      <c r="K55" s="7">
        <v>53.48</v>
      </c>
      <c r="L55" s="8">
        <v>1.07860658196968</v>
      </c>
    </row>
    <row r="56" spans="1:12" x14ac:dyDescent="0.25">
      <c r="A56" s="1" t="s">
        <v>68</v>
      </c>
      <c r="B56" s="9">
        <v>0.25</v>
      </c>
      <c r="C56" s="3">
        <f t="shared" si="1"/>
        <v>-0.60205999132796229</v>
      </c>
      <c r="D56" s="10">
        <v>1.585</v>
      </c>
      <c r="E56" s="10">
        <v>0.54820000000000002</v>
      </c>
      <c r="F56" s="5">
        <v>1.1008</v>
      </c>
      <c r="G56" s="5">
        <v>1.9497099999999901</v>
      </c>
      <c r="H56" s="6">
        <v>0.2089</v>
      </c>
      <c r="I56" s="6">
        <v>0.66049999999999998</v>
      </c>
      <c r="J56" s="7">
        <v>10.917999999999999</v>
      </c>
      <c r="K56" s="7">
        <v>50.390300000000003</v>
      </c>
      <c r="L56" s="8">
        <v>1.0933296822160501</v>
      </c>
    </row>
    <row r="57" spans="1:12" x14ac:dyDescent="0.25">
      <c r="A57" s="1" t="s">
        <v>69</v>
      </c>
      <c r="B57" s="9">
        <v>0.1</v>
      </c>
      <c r="C57" s="3">
        <f t="shared" si="1"/>
        <v>-0.99999999999999978</v>
      </c>
      <c r="D57" s="10">
        <v>1.2429999999999899</v>
      </c>
      <c r="E57" s="10">
        <v>0.55800000000000005</v>
      </c>
      <c r="F57" s="5">
        <v>1.32039999999999</v>
      </c>
      <c r="G57" s="5">
        <v>1.7023999999999999</v>
      </c>
      <c r="H57" s="6">
        <v>0.38389999999999902</v>
      </c>
      <c r="I57" s="6">
        <v>0.56320000000000003</v>
      </c>
      <c r="J57" s="7">
        <v>22.015999999999998</v>
      </c>
      <c r="K57" s="7">
        <v>35.502000000000002</v>
      </c>
      <c r="L57" s="8">
        <v>0.960968492461591</v>
      </c>
    </row>
    <row r="58" spans="1:12" x14ac:dyDescent="0.25">
      <c r="A58" s="1" t="s">
        <v>70</v>
      </c>
      <c r="B58" s="9">
        <v>0.12</v>
      </c>
      <c r="C58" s="3">
        <f t="shared" si="1"/>
        <v>-0.92081875395237511</v>
      </c>
      <c r="D58" s="10">
        <v>1.3</v>
      </c>
      <c r="E58" s="10">
        <v>0.55800000000000005</v>
      </c>
      <c r="F58" s="5">
        <v>1.2682</v>
      </c>
      <c r="G58" s="5">
        <v>1.7023999999999899</v>
      </c>
      <c r="H58" s="6">
        <v>0.35599999999999998</v>
      </c>
      <c r="I58" s="6">
        <v>0.56319999999999903</v>
      </c>
      <c r="J58" s="7">
        <v>20.102</v>
      </c>
      <c r="K58" s="7">
        <v>35.501999999999903</v>
      </c>
      <c r="L58" s="8">
        <v>0.98209275164798204</v>
      </c>
    </row>
    <row r="59" spans="1:12" x14ac:dyDescent="0.25">
      <c r="A59" s="1" t="s">
        <v>71</v>
      </c>
      <c r="B59" s="9">
        <v>0.2</v>
      </c>
      <c r="C59" s="3">
        <f t="shared" si="1"/>
        <v>-0.69897000433601875</v>
      </c>
      <c r="D59" s="4">
        <v>1.319</v>
      </c>
      <c r="E59" s="4">
        <v>0.55800000000000005</v>
      </c>
      <c r="F59" s="5">
        <v>1.2507999999999999</v>
      </c>
      <c r="G59" s="5">
        <v>1.7023999999999999</v>
      </c>
      <c r="H59" s="6">
        <v>0.34670000000000001</v>
      </c>
      <c r="I59" s="6">
        <v>0.56320000000000003</v>
      </c>
      <c r="J59" s="7">
        <v>19.463999999999999</v>
      </c>
      <c r="K59" s="7">
        <v>35.502000000000002</v>
      </c>
      <c r="L59" s="8">
        <v>0.98913417137677895</v>
      </c>
    </row>
    <row r="60" spans="1:12" x14ac:dyDescent="0.25">
      <c r="A60" s="1" t="s">
        <v>72</v>
      </c>
      <c r="B60" s="9">
        <v>0.9</v>
      </c>
      <c r="C60" s="3">
        <f t="shared" si="1"/>
        <v>-4.5757490560675115E-2</v>
      </c>
      <c r="D60" s="4">
        <v>1.3679999999999899</v>
      </c>
      <c r="E60" s="4">
        <v>0.55733333333333301</v>
      </c>
      <c r="F60" s="5">
        <v>1.1919999999999999</v>
      </c>
      <c r="G60" s="5">
        <v>1.7330333333333301</v>
      </c>
      <c r="H60" s="6">
        <v>0.28439999999999999</v>
      </c>
      <c r="I60" s="6">
        <v>0.605833333333333</v>
      </c>
      <c r="J60" s="7">
        <v>17.384</v>
      </c>
      <c r="K60" s="7">
        <v>37.701333333333302</v>
      </c>
      <c r="L60" s="8">
        <v>1.00764569971952</v>
      </c>
    </row>
    <row r="61" spans="1:12" x14ac:dyDescent="0.25">
      <c r="A61" s="1" t="s">
        <v>73</v>
      </c>
      <c r="B61" s="9" t="s">
        <v>74</v>
      </c>
      <c r="C61" s="3">
        <f t="shared" si="1"/>
        <v>-0.95860731484177486</v>
      </c>
      <c r="D61" s="4">
        <v>1.44</v>
      </c>
      <c r="E61" s="4">
        <v>0.53</v>
      </c>
      <c r="F61" s="5">
        <v>1.093</v>
      </c>
      <c r="G61" s="5">
        <v>2.0089999999999999</v>
      </c>
      <c r="H61" s="6">
        <v>0.222</v>
      </c>
      <c r="I61" s="6">
        <v>0.66600000000000004</v>
      </c>
      <c r="J61" s="7">
        <v>11.03</v>
      </c>
      <c r="K61" s="7">
        <v>51.27</v>
      </c>
      <c r="L61" s="8">
        <v>1.0493765529310899</v>
      </c>
    </row>
    <row r="62" spans="1:12" x14ac:dyDescent="0.25">
      <c r="A62" s="1" t="s">
        <v>75</v>
      </c>
      <c r="B62" s="9" t="s">
        <v>76</v>
      </c>
      <c r="C62" s="3">
        <f t="shared" si="1"/>
        <v>-1.4559319556497241</v>
      </c>
      <c r="D62" s="4">
        <v>1.44</v>
      </c>
      <c r="E62" s="4">
        <v>0.59150000000000003</v>
      </c>
      <c r="F62" s="5">
        <v>1.093</v>
      </c>
      <c r="G62" s="5">
        <v>1.8937999999999999</v>
      </c>
      <c r="H62" s="6">
        <v>0.222</v>
      </c>
      <c r="I62" s="6">
        <v>0.70120000000000005</v>
      </c>
      <c r="J62" s="7">
        <v>11.03</v>
      </c>
      <c r="K62" s="7">
        <v>53.745999999999903</v>
      </c>
      <c r="L62" s="8">
        <v>1.01613593587971</v>
      </c>
    </row>
    <row r="63" spans="1:12" x14ac:dyDescent="0.25">
      <c r="A63" s="1" t="s">
        <v>77</v>
      </c>
      <c r="B63" s="9" t="s">
        <v>78</v>
      </c>
      <c r="C63" s="3">
        <f t="shared" si="1"/>
        <v>-0.96257350205937631</v>
      </c>
      <c r="D63" s="4">
        <v>1.44</v>
      </c>
      <c r="E63" s="4">
        <v>0.59975000000000001</v>
      </c>
      <c r="F63" s="5">
        <v>1.093</v>
      </c>
      <c r="G63" s="5">
        <v>1.7936999999999901</v>
      </c>
      <c r="H63" s="6">
        <v>0.222</v>
      </c>
      <c r="I63" s="6">
        <v>0.68579999999999997</v>
      </c>
      <c r="J63" s="7">
        <v>11.03</v>
      </c>
      <c r="K63" s="7">
        <v>47.344000000000001</v>
      </c>
      <c r="L63" s="8">
        <v>1.0118363479987</v>
      </c>
    </row>
    <row r="64" spans="1:12" x14ac:dyDescent="0.25">
      <c r="A64" s="1" t="s">
        <v>79</v>
      </c>
      <c r="B64" s="9">
        <v>0.49</v>
      </c>
      <c r="C64" s="3">
        <f t="shared" si="1"/>
        <v>-0.30980391997148632</v>
      </c>
      <c r="D64" s="4">
        <v>1.3280000000000001</v>
      </c>
      <c r="E64" s="4">
        <v>0.55840000000000001</v>
      </c>
      <c r="F64" s="5">
        <v>1.1916</v>
      </c>
      <c r="G64" s="5">
        <v>1.7710399999999999</v>
      </c>
      <c r="H64" s="6">
        <v>0.30120000000000002</v>
      </c>
      <c r="I64" s="6">
        <v>0.59223999999999999</v>
      </c>
      <c r="J64" s="7">
        <v>17.72</v>
      </c>
      <c r="K64" s="7">
        <v>40.8996</v>
      </c>
      <c r="L64" s="8">
        <v>0.99226155999999999</v>
      </c>
    </row>
    <row r="65" spans="1:12" x14ac:dyDescent="0.25">
      <c r="A65" s="1" t="s">
        <v>80</v>
      </c>
      <c r="B65" s="9">
        <v>0.51</v>
      </c>
      <c r="C65" s="3">
        <f t="shared" si="1"/>
        <v>-0.29242982390206362</v>
      </c>
      <c r="D65" s="4">
        <v>1.3260000000000001</v>
      </c>
      <c r="E65" s="4">
        <v>0.55679999999999996</v>
      </c>
      <c r="F65" s="5">
        <v>1.2081999999999999</v>
      </c>
      <c r="G65" s="5">
        <v>1.7432799999999999</v>
      </c>
      <c r="H65" s="6">
        <v>0.30740000000000001</v>
      </c>
      <c r="I65" s="6">
        <v>0.57487999999999995</v>
      </c>
      <c r="J65" s="7">
        <v>18.695</v>
      </c>
      <c r="K65" s="7">
        <v>38.5642</v>
      </c>
      <c r="L65" s="8">
        <v>0.99235249999999997</v>
      </c>
    </row>
    <row r="66" spans="1:12" x14ac:dyDescent="0.25">
      <c r="A66" s="1" t="s">
        <v>81</v>
      </c>
      <c r="B66" s="9">
        <v>0.53</v>
      </c>
      <c r="C66" s="3">
        <f t="shared" ref="C66:C70" si="2">LOG(B66,10)</f>
        <v>-0.2757241303992109</v>
      </c>
      <c r="D66" s="4">
        <v>1.3240000000000001</v>
      </c>
      <c r="E66" s="4">
        <v>0.55520000000000003</v>
      </c>
      <c r="F66" s="5">
        <v>1.2248000000000001</v>
      </c>
      <c r="G66" s="5">
        <v>1.7155199999999999</v>
      </c>
      <c r="H66" s="6">
        <v>0.31359999999999999</v>
      </c>
      <c r="I66" s="6">
        <v>0.55752000000000002</v>
      </c>
      <c r="J66" s="7">
        <v>19.670000000000002</v>
      </c>
      <c r="K66" s="7">
        <v>36.2288</v>
      </c>
      <c r="L66" s="8">
        <v>0.99244359000000004</v>
      </c>
    </row>
    <row r="67" spans="1:12" x14ac:dyDescent="0.25">
      <c r="A67" s="1" t="s">
        <v>82</v>
      </c>
      <c r="B67" s="9">
        <v>0.7</v>
      </c>
      <c r="C67" s="3">
        <f t="shared" si="2"/>
        <v>-0.15490195998574319</v>
      </c>
      <c r="D67" s="4">
        <v>1.3220000000000001</v>
      </c>
      <c r="E67" s="4">
        <v>0.55359999999999998</v>
      </c>
      <c r="F67" s="5">
        <v>1.2414000000000001</v>
      </c>
      <c r="G67" s="5">
        <v>1.6877599999999999</v>
      </c>
      <c r="H67" s="6">
        <v>0.31979999999999997</v>
      </c>
      <c r="I67" s="6">
        <v>0.54015999999999997</v>
      </c>
      <c r="J67" s="7">
        <v>20.645</v>
      </c>
      <c r="K67" s="7">
        <v>33.8934</v>
      </c>
      <c r="L67" s="8">
        <v>0.99253484000000003</v>
      </c>
    </row>
    <row r="68" spans="1:12" x14ac:dyDescent="0.25">
      <c r="A68" s="1" t="s">
        <v>83</v>
      </c>
      <c r="B68" s="9">
        <v>0.5</v>
      </c>
      <c r="C68" s="3">
        <f t="shared" si="2"/>
        <v>-0.30102999566398114</v>
      </c>
      <c r="D68" s="4">
        <v>1.4079999999999999</v>
      </c>
      <c r="E68" s="4">
        <v>0.56159999999999999</v>
      </c>
      <c r="F68" s="5">
        <v>1.1457999999999999</v>
      </c>
      <c r="G68" s="5">
        <v>1.82656</v>
      </c>
      <c r="H68" s="6">
        <v>0.27039999999999997</v>
      </c>
      <c r="I68" s="6">
        <v>0.62695999999999996</v>
      </c>
      <c r="J68" s="7">
        <v>14.29</v>
      </c>
      <c r="K68" s="7">
        <v>45.570399999999999</v>
      </c>
      <c r="L68" s="8">
        <v>1.02019277</v>
      </c>
    </row>
    <row r="69" spans="1:12" x14ac:dyDescent="0.25">
      <c r="A69" s="1" t="s">
        <v>17</v>
      </c>
      <c r="B69" s="9">
        <v>4.9000000000000002E-2</v>
      </c>
      <c r="C69" s="3">
        <f t="shared" si="2"/>
        <v>-1.3098039199714862</v>
      </c>
      <c r="D69" s="4">
        <v>1.61</v>
      </c>
      <c r="E69" s="4">
        <v>0.6</v>
      </c>
      <c r="F69" s="5">
        <v>1.087</v>
      </c>
      <c r="G69" s="5">
        <v>1.9107000000000001</v>
      </c>
      <c r="H69" s="6">
        <v>0.19400000000000001</v>
      </c>
      <c r="I69" s="6">
        <v>0.66720000000000002</v>
      </c>
      <c r="J69" s="7">
        <v>10</v>
      </c>
      <c r="K69" s="7">
        <v>52.003</v>
      </c>
      <c r="L69" s="8">
        <v>1.07335183</v>
      </c>
    </row>
    <row r="70" spans="1:12" x14ac:dyDescent="0.25">
      <c r="A70" s="1" t="s">
        <v>84</v>
      </c>
      <c r="B70" s="9">
        <v>0.18</v>
      </c>
      <c r="C70" s="3">
        <f t="shared" si="2"/>
        <v>-0.74472749489669388</v>
      </c>
      <c r="D70" s="4">
        <v>1.44</v>
      </c>
      <c r="E70" s="4">
        <v>0.59225000000000005</v>
      </c>
      <c r="F70" s="5">
        <v>1.093</v>
      </c>
      <c r="G70" s="5">
        <v>1.8847</v>
      </c>
      <c r="H70" s="6">
        <v>0.222</v>
      </c>
      <c r="I70" s="6">
        <v>0.69979999999999998</v>
      </c>
      <c r="J70" s="7">
        <v>11.03</v>
      </c>
      <c r="K70" s="7">
        <v>53.164000000000001</v>
      </c>
      <c r="L70" s="8">
        <v>1.0157435500000001</v>
      </c>
    </row>
  </sheetData>
  <phoneticPr fontId="1" type="noConversion"/>
  <conditionalFormatting sqref="B1:C70">
    <cfRule type="cellIs" priority="1" operator="between">
      <formula>0</formula>
      <formula>10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2024-12-18T11:18:16Z</dcterms:created>
  <dcterms:modified xsi:type="dcterms:W3CDTF">2026-06-03T08:19:17Z</dcterms:modified>
</cp:coreProperties>
</file>